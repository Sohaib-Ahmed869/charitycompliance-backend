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mpu\Dropbox\ACCOUNTANTS HYVE\CLIENTS\MATW INTERNATIONAL LTD\MATW (Financial Compliance)\Compliance Checklist\Template\"/>
    </mc:Choice>
  </mc:AlternateContent>
  <xr:revisionPtr revIDLastSave="0" documentId="13_ncr:1_{DF545E6F-AB36-4F3A-B27B-0C9EB5480C22}" xr6:coauthVersionLast="47" xr6:coauthVersionMax="47" xr10:uidLastSave="{00000000-0000-0000-0000-000000000000}"/>
  <bookViews>
    <workbookView xWindow="28680" yWindow="-120" windowWidth="29040" windowHeight="15720" tabRatio="749" xr2:uid="{00000000-000D-0000-FFFF-FFFF00000000}"/>
  </bookViews>
  <sheets>
    <sheet name="Dashboard" sheetId="1" r:id="rId1"/>
    <sheet name="Summary" sheetId="2" r:id="rId2"/>
    <sheet name="Governance" sheetId="3" r:id="rId3"/>
    <sheet name="Finance" sheetId="4" r:id="rId4"/>
    <sheet name="Fundraising" sheetId="5" r:id="rId5"/>
    <sheet name="Programs" sheetId="6" r:id="rId6"/>
    <sheet name="HR and Volunteers" sheetId="7" r:id="rId7"/>
    <sheet name="Risk and Compliance" sheetId="8" r:id="rId8"/>
    <sheet name="Communications and Report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D10" i="2" s="1"/>
  <c r="C9" i="2"/>
  <c r="C8" i="2"/>
  <c r="D8" i="2" s="1"/>
  <c r="C7" i="2"/>
  <c r="C6" i="2"/>
  <c r="C5" i="2"/>
  <c r="D5" i="2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D6" i="2"/>
  <c r="D7" i="2"/>
  <c r="D9" i="2"/>
  <c r="D11" i="2"/>
</calcChain>
</file>

<file path=xl/sharedStrings.xml><?xml version="1.0" encoding="utf-8"?>
<sst xmlns="http://schemas.openxmlformats.org/spreadsheetml/2006/main" count="540" uniqueCount="401">
  <si>
    <t>Area</t>
  </si>
  <si>
    <t>Total Tasks</t>
  </si>
  <si>
    <t>Completed Tasks</t>
  </si>
  <si>
    <t>% Complete</t>
  </si>
  <si>
    <t>Last Completion Date</t>
  </si>
  <si>
    <t>Governance</t>
  </si>
  <si>
    <t>Finance</t>
  </si>
  <si>
    <t>Fundraising</t>
  </si>
  <si>
    <t>Programs</t>
  </si>
  <si>
    <t>HR_and_Volunteers</t>
  </si>
  <si>
    <t>Risk_and_Compliance</t>
  </si>
  <si>
    <t>Communications_and_Reporting</t>
  </si>
  <si>
    <t>Outstanding Tasks (Top 5)</t>
  </si>
  <si>
    <t>Monthly Board Meeting (or delegation); Minutes and Resolutions; Responsible Persons Register; Fit &amp; Proper Person &amp; Conflicts Checks; Conflict of Interest Register Review</t>
  </si>
  <si>
    <t>Bank Reconciliations - All Accounts; Donation &amp; Fund Reconciliation; Management Accounts &amp; Variance Analysis; Payroll &amp; STP Reporting; BAS / GST Review</t>
  </si>
  <si>
    <t>Donation Receipts: Compliance Check; Donation Allocation &amp; Restrictions; Appeals &amp; Campaign Compliance; Fundraising Licence &amp; State Compliance; Major Donor &amp; Sponsorship Agreements</t>
  </si>
  <si>
    <t>Program KPI &amp; Output Review; Beneficiary Records &amp; Privacy; Safeguarding &amp; WWCC Checks; Client Feedback &amp; Complaints; Program Budget &amp; Expenditure Tracking</t>
  </si>
  <si>
    <t>Payroll &amp; Contractor Classification Review; Mandatory Training &amp; Licences; Background Checks &amp; WWCC; Volunteer Agreements &amp; Insurance; Performance &amp; Wellbeing Check-ins</t>
  </si>
  <si>
    <t>Risk Register Review &amp; Top Risks; WHS Inspection &amp; Hazard Log; Incident Management &amp; Reporting; Cybersecurity &amp; Access Review; Data Breach Readiness &amp; NDB Assessment</t>
  </si>
  <si>
    <t>Website &amp; Charity Register Public Info; Annual Information Statement Readiness; Donor &amp; Stakeholder Communications; Media &amp; Reputation Monitoring; External Reporting &amp; Grant Requirements</t>
  </si>
  <si>
    <t>Task ID</t>
  </si>
  <si>
    <t>Task</t>
  </si>
  <si>
    <t>Description</t>
  </si>
  <si>
    <t>Reference</t>
  </si>
  <si>
    <t>Responsible Person</t>
  </si>
  <si>
    <t>Frequency</t>
  </si>
  <si>
    <t>Evidence Required</t>
  </si>
  <si>
    <t>Completed (Y/N)</t>
  </si>
  <si>
    <t>Date Completed</t>
  </si>
  <si>
    <t>Comments</t>
  </si>
  <si>
    <t>Status</t>
  </si>
  <si>
    <t>Sign-off Name</t>
  </si>
  <si>
    <t>GOV-01</t>
  </si>
  <si>
    <t>Monthly Board Meeting (or delegation)</t>
  </si>
  <si>
    <t>Confirm meeting scheduled; prepare and distribute agenda and papers at least 7 days prior; confirm quorum and record attendance.</t>
  </si>
  <si>
    <t>ACNC Governance Standards; Constitution; Corporations Act</t>
  </si>
  <si>
    <t>Company Secretary / Chair / CEO</t>
  </si>
  <si>
    <t>Monthly</t>
  </si>
  <si>
    <t>Agenda, meeting pack distribution log, minutes, attendance sheet</t>
  </si>
  <si>
    <t>GOV-02</t>
  </si>
  <si>
    <t>Minutes and Resolutions</t>
  </si>
  <si>
    <t>Circulate draft minutes within 7 business days; record resolutions, action items, responsible persons and deadlines; file approved minutes in minute book.</t>
  </si>
  <si>
    <t>Corporations Act; ACNC record-keeping guidance</t>
  </si>
  <si>
    <t>Company Secretary</t>
  </si>
  <si>
    <t>Draft &amp; approved minutes, resolution register</t>
  </si>
  <si>
    <t>GOV-03</t>
  </si>
  <si>
    <t>Responsible Persons Register</t>
  </si>
  <si>
    <t>Review current Responsible People; confirm consents, contact details and roles; update ACNC Charity Portal within statutory timeframe (28 days for medium/large charities).</t>
  </si>
  <si>
    <t>ACNC Notifying changes guidance; ACNC forms</t>
  </si>
  <si>
    <t>Company Secretary / Governance Officer</t>
  </si>
  <si>
    <t>Monthly (check for changes)</t>
  </si>
  <si>
    <t>Updated register, ACNC portal confirmation if updated</t>
  </si>
  <si>
    <t>GOV-04</t>
  </si>
  <si>
    <t>Fit &amp; Proper Person &amp; Conflicts Checks</t>
  </si>
  <si>
    <t>Ensure newly appointed Responsible People have completed: consent to act, declaration of disqualifying histories (bankruptcy, criminal convictions), conflicts of interest and probity checks.</t>
  </si>
  <si>
    <t>Corporations Act; ACNC Governance Standards</t>
  </si>
  <si>
    <t>Governance Officer / Chair</t>
  </si>
  <si>
    <t>As required; verify monthly for new entries</t>
  </si>
  <si>
    <t>Signed consents, disclosure forms, probity check records</t>
  </si>
  <si>
    <t>GOV-05</t>
  </si>
  <si>
    <t>Conflict of Interest Register Review</t>
  </si>
  <si>
    <t>Review register; ensure declarations recorded in minutes; update mitigation plans for any declared conflicts.</t>
  </si>
  <si>
    <t>ACNC Governance Standards</t>
  </si>
  <si>
    <t>Chair / Company Secretary</t>
  </si>
  <si>
    <t>Conflict register, minutes referring to declarations</t>
  </si>
  <si>
    <t>GOV-06</t>
  </si>
  <si>
    <t>Board Skills Matrix &amp; Succession</t>
  </si>
  <si>
    <t>Update skills matrix; identify gaps; report on upcoming vacancies and succession plan actions.</t>
  </si>
  <si>
    <t>Good governance practice; ACNC guidance</t>
  </si>
  <si>
    <t>Chair / Governance Committee</t>
  </si>
  <si>
    <t>Quarterly (review monthly status)</t>
  </si>
  <si>
    <t>Skills matrix, succession plan</t>
  </si>
  <si>
    <t>GOV-07</t>
  </si>
  <si>
    <t>Delegations &amp; Authorisations</t>
  </si>
  <si>
    <t>Review delegated authorities and any approvals given under delegation during the month (finance, contracts, HR).</t>
  </si>
  <si>
    <t>Constitution; Delegations Policy</t>
  </si>
  <si>
    <t>CEO / CFO / Company Secretary</t>
  </si>
  <si>
    <t>Delegation register, approval records</t>
  </si>
  <si>
    <t>GOV-08</t>
  </si>
  <si>
    <t>Policy Review Cycle</t>
  </si>
  <si>
    <t>Confirm policies reviewed per schedule (whistleblower, privacy, fraud, fundraising, safeguarding, procurement). Update any overdue policies.</t>
  </si>
  <si>
    <t>ACNC Governance Standards; internal policy schedule</t>
  </si>
  <si>
    <t>Governance Officer / Head of HR</t>
  </si>
  <si>
    <t>Monthly (by schedule)</t>
  </si>
  <si>
    <t>Policy register, updated policy docs, endorsement records</t>
  </si>
  <si>
    <t>GOV-09</t>
  </si>
  <si>
    <t>Whistleblower &amp; Complaints</t>
  </si>
  <si>
    <t>Review whistleblower and complaints logs; ensure appropriate handling, protections and follow-ups; escalate to board if required.</t>
  </si>
  <si>
    <t>Whistleblower protections Act; ACNC complaints guidance</t>
  </si>
  <si>
    <t>Company Secretary / Risk Officer</t>
  </si>
  <si>
    <t>Complaints &amp; whistleblower log, outcomes, corrective action</t>
  </si>
  <si>
    <t>GOV-10</t>
  </si>
  <si>
    <t>Related Party Transactions</t>
  </si>
  <si>
    <t>Identify and review any related-party transactions; ensure they were approved per policy and recorded.</t>
  </si>
  <si>
    <t>ACNC Guidance; Corporations Act</t>
  </si>
  <si>
    <t>CFO / Governance Officer</t>
  </si>
  <si>
    <t>Related-party register, approvals, supporting docs</t>
  </si>
  <si>
    <t>GOV-11</t>
  </si>
  <si>
    <t>Board Training &amp; Induction</t>
  </si>
  <si>
    <t>Confirm induction for new Responsible People and ongoing training completed (governance, ACNC obligations, DGR rules, child safety as applicable).</t>
  </si>
  <si>
    <t>ACNC checklist for new responsible people</t>
  </si>
  <si>
    <t>Governance Officer / Company Secretary</t>
  </si>
  <si>
    <t>Monthly (training schedule)</t>
  </si>
  <si>
    <t>Training records, induction packs</t>
  </si>
  <si>
    <t>GOV-12</t>
  </si>
  <si>
    <t>Confidentiality &amp; Privacy Compliance</t>
  </si>
  <si>
    <t>Ensure board &amp; staff have signed confidentiality agreements where required and privacy training up to date.</t>
  </si>
  <si>
    <t>Privacy Act; ACNC governance standards</t>
  </si>
  <si>
    <t>Privacy Officer / Company Secretary</t>
  </si>
  <si>
    <t>Signed agreements, training logs</t>
  </si>
  <si>
    <t>GOV-13</t>
  </si>
  <si>
    <t>Insurance &amp; D&amp;O</t>
  </si>
  <si>
    <t>Verify insurance policies active (D&amp;O, public liability, volunteer cover); confirm upcoming renewals and claims status.</t>
  </si>
  <si>
    <t>Insurance policies; risk controls</t>
  </si>
  <si>
    <t>Risk &amp; CFO</t>
  </si>
  <si>
    <t>Insurance register, current certificates</t>
  </si>
  <si>
    <t>GOV-14</t>
  </si>
  <si>
    <t>Governance Reporting Pack</t>
  </si>
  <si>
    <t>Prepare standard monthly governance pack for board including risk register, finance snapshot, major incidents and compliance exceptions.</t>
  </si>
  <si>
    <t>ACNC reporting expectations</t>
  </si>
  <si>
    <t>CEO / Company Secretary</t>
  </si>
  <si>
    <t>Board pack distribution log</t>
  </si>
  <si>
    <t>GOV-15</t>
  </si>
  <si>
    <t>Regulatory Notifications &amp; Compliance Calendar</t>
  </si>
  <si>
    <t>Review upcoming lodgements (ACNC AIS, ASIC annual statement, BAS, grant reports) and ensure deadlines are on schedule.</t>
  </si>
  <si>
    <t>ACNC, ASIC, ATO guidance</t>
  </si>
  <si>
    <t>Company Secretary / CFO</t>
  </si>
  <si>
    <t>Compliance calendar, lodgement evidence</t>
  </si>
  <si>
    <t>FIN-01</t>
  </si>
  <si>
    <t>Bank Reconciliations - All Accounts</t>
  </si>
  <si>
    <t>Reconcile each bank account, merchant accounts and payment gateways to GL; review and clear reconciling items.</t>
  </si>
  <si>
    <t>ASIC guidance on financial reporting; internal control</t>
  </si>
  <si>
    <t>Finance Manager / Accountant</t>
  </si>
  <si>
    <t>Bank reconciliation reports, sign-off</t>
  </si>
  <si>
    <t>FIN-02</t>
  </si>
  <si>
    <t>Donation &amp; Fund Reconciliation</t>
  </si>
  <si>
    <t>Reconcile donations per campaign/platform (online, EFT, cash, events) to bank &amp; donation ledger; flag unallocated or restricted gifts.</t>
  </si>
  <si>
    <t>ATO DGR receipts guidance; internal donations policy</t>
  </si>
  <si>
    <t>Fundraising Manager / Accountant</t>
  </si>
  <si>
    <t>Donation ledger, reconciliation worksheet</t>
  </si>
  <si>
    <t>FIN-03</t>
  </si>
  <si>
    <t>Management Accounts &amp; Variance Analysis</t>
  </si>
  <si>
    <t>Produce P&amp;L, Balance Sheet, Cash Flow, and a variance analysis with explanations for variances &gt;5% or material items.</t>
  </si>
  <si>
    <t>ACNC financial reporting guidance; accounting standards</t>
  </si>
  <si>
    <t>CFO / Finance Manager</t>
  </si>
  <si>
    <t>Management accounts, variance commentary</t>
  </si>
  <si>
    <t>FIN-04</t>
  </si>
  <si>
    <t>Payroll &amp; STP Reporting</t>
  </si>
  <si>
    <t>Confirm payroll processed, Single Touch Payroll lodged, superannuation paid, tax withheld accurate and payroll reconciliations complete.</t>
  </si>
  <si>
    <t>ATO STP guidance; Fair Work Act</t>
  </si>
  <si>
    <t>Payroll Manager / HR</t>
  </si>
  <si>
    <t>Monthly (per pay run)</t>
  </si>
  <si>
    <t>Payroll registers, STP receipts, super statements</t>
  </si>
  <si>
    <t>FIN-05</t>
  </si>
  <si>
    <t>BAS / GST Review</t>
  </si>
  <si>
    <t>Reconcile GST collected and paid; prepare BAS estimates/working papers and flag any adjustments.</t>
  </si>
  <si>
    <t>ATO BAS guidance</t>
  </si>
  <si>
    <t>Accountant / CFO</t>
  </si>
  <si>
    <t>Monthly (if lodged monthly/quarterly)</t>
  </si>
  <si>
    <t>BAS working papers, supporting invoices</t>
  </si>
  <si>
    <t>FIN-06</t>
  </si>
  <si>
    <t>Accounts Payable &amp; Authorisations</t>
  </si>
  <si>
    <t>Confirm AP aged report reviewed, payments approved per delegations, check for duplicate payments and unusual vendors.</t>
  </si>
  <si>
    <t>Delegations policy, procurement policy</t>
  </si>
  <si>
    <t>Accounts Payable Officer / Finance Manager</t>
  </si>
  <si>
    <t>Weekly/Monthly</t>
  </si>
  <si>
    <t>AP aged report, payment approvals</t>
  </si>
  <si>
    <t>FIN-07</t>
  </si>
  <si>
    <t>Accounts Receivable &amp; Grants Income</t>
  </si>
  <si>
    <t>Review AR aging, follow-up debts; reconcile grant income to grant agreements and deferred income schedules.</t>
  </si>
  <si>
    <t>Grant agreements; ACNC reporting</t>
  </si>
  <si>
    <t>Grants Officer / Accountant</t>
  </si>
  <si>
    <t>AR aged, grant ledger, acquittal tracker</t>
  </si>
  <si>
    <t>FIN-08</t>
  </si>
  <si>
    <t>Expense &amp; Fraud Review</t>
  </si>
  <si>
    <t>Run exception reports for unusual transactions, merchant codes, or high-value purchases; review expense reimbursements.</t>
  </si>
  <si>
    <t>Internal control, fraud policy</t>
  </si>
  <si>
    <t>Finance Manager / Internal Audit</t>
  </si>
  <si>
    <t>Exception reports, investigation logs</t>
  </si>
  <si>
    <t>FIN-09</t>
  </si>
  <si>
    <t>Fixed Assets &amp; Depreciation</t>
  </si>
  <si>
    <t>Update asset register for new purchases/disposals; reconcile ledger and calculate monthly depreciation.</t>
  </si>
  <si>
    <t>Accounting standards; asset policy</t>
  </si>
  <si>
    <t>Finance Officer</t>
  </si>
  <si>
    <t>Asset register, capex approvals</t>
  </si>
  <si>
    <t>FIN-10</t>
  </si>
  <si>
    <t>Related Party &amp; Trustee Transactions</t>
  </si>
  <si>
    <t>Ensure related party transactions have approvals and are disclosed where required.</t>
  </si>
  <si>
    <t>ACNC/Corporations Act disclosure requirements</t>
  </si>
  <si>
    <t>CFO / Company Secretary</t>
  </si>
  <si>
    <t>Related party register, disclosures</t>
  </si>
  <si>
    <t>FIN-11</t>
  </si>
  <si>
    <t>Budget Monitoring &amp; Cash Forecast</t>
  </si>
  <si>
    <t>Update cashflow forecast, highlight upcoming funding shortfalls or surplus and recommend actions.</t>
  </si>
  <si>
    <t>Board-approved budget; ACNC guidance</t>
  </si>
  <si>
    <t>CFO</t>
  </si>
  <si>
    <t>Cashflow forecast, management commentary</t>
  </si>
  <si>
    <t>FIN-12</t>
  </si>
  <si>
    <t>Grant &amp; Contract Compliance</t>
  </si>
  <si>
    <t>Match expenditure to grant budget lines, check procurement compliance, prepare accruals and ensure milestone evidence is retained.</t>
  </si>
  <si>
    <t>Grant agreements; funder requirements</t>
  </si>
  <si>
    <t>Grants Officer / Program Manager</t>
  </si>
  <si>
    <t>Grant files, milestone evidence</t>
  </si>
  <si>
    <t>FIN-13</t>
  </si>
  <si>
    <t>Audit Preparedness &amp; Working Papers</t>
  </si>
  <si>
    <t>Maintain working papers for auditors, update audit issue log, and ensure timely responses to auditor requests.</t>
  </si>
  <si>
    <t>Audit standards; ASIC guidance</t>
  </si>
  <si>
    <t>Finance Manager / Audit Committee</t>
  </si>
  <si>
    <t>Working papers index, audit log</t>
  </si>
  <si>
    <t>FUND-01</t>
  </si>
  <si>
    <t>Donation Receipts: Compliance Check</t>
  </si>
  <si>
    <t>Issue receipts that meet ATO DGR requirements (include org name/ABN, date, amount, statement that the gift is deductible, description of any benefit), and keep copies.</t>
  </si>
  <si>
    <t>ATO Receipts guidance (DGR requirements).</t>
  </si>
  <si>
    <t>Fundraising Manager / Finance</t>
  </si>
  <si>
    <t>Within 7 days of gift</t>
  </si>
  <si>
    <t>Sample receipts, receipt log</t>
  </si>
  <si>
    <t>FUND-02</t>
  </si>
  <si>
    <t>Donation Allocation &amp; Restrictions</t>
  </si>
  <si>
    <t>Track restricted or purpose-specific donations; maintain a restricted funds ledger and evidence donor conditions are honoured.</t>
  </si>
  <si>
    <t>DGR rules; grant conditions</t>
  </si>
  <si>
    <t>Fundraising Manager / Grants Officer</t>
  </si>
  <si>
    <t>Restricted funds ledger, donor communication</t>
  </si>
  <si>
    <t>FUND-03</t>
  </si>
  <si>
    <t>Appeals &amp; Campaign Compliance</t>
  </si>
  <si>
    <t>Review active appeals content for accuracy, ensure funds to be used as stated and monitor campaign performance.</t>
  </si>
  <si>
    <t>ACNC fundraising guidance; ATO DGR</t>
  </si>
  <si>
    <t>Fundraising Team / Communications</t>
  </si>
  <si>
    <t>Campaign briefs, performance report</t>
  </si>
  <si>
    <t>FUND-04</t>
  </si>
  <si>
    <t>Fundraising Licence &amp; State Compliance</t>
  </si>
  <si>
    <t>Check fundraising licences and permits in states/territories for events/appeals and renew as required; maintain register.</t>
  </si>
  <si>
    <t>State fundraising regulators; ACNC guidance</t>
  </si>
  <si>
    <t>Compliance Officer / Fundraising Manager</t>
  </si>
  <si>
    <t>Licence register, permits</t>
  </si>
  <si>
    <t>FUND-05</t>
  </si>
  <si>
    <t>Major Donor &amp; Sponsorship Agreements</t>
  </si>
  <si>
    <t>Ensure agreements are documented, record any naming rights or conditionality, and confirm sponsor benefits delivered.</t>
  </si>
  <si>
    <t>Contract law; donor agreements</t>
  </si>
  <si>
    <t>Fundraising Manager / CEO</t>
  </si>
  <si>
    <t>Signed agreements, sponsorship fulfilment log</t>
  </si>
  <si>
    <t>FUND-06</t>
  </si>
  <si>
    <t>Crowdfunding &amp; Third-Party Platforms</t>
  </si>
  <si>
    <t>Reconcile funds raised via third-party platforms; confirm platform T&amp;Cs and donor receipting are compliant.</t>
  </si>
  <si>
    <t>Platform terms; ATO DGR receipting</t>
  </si>
  <si>
    <t>Fundraising / Finance</t>
  </si>
  <si>
    <t>Monthly (campaign close)</t>
  </si>
  <si>
    <t>Platform reconciliations, terms</t>
  </si>
  <si>
    <t>FUND-07</t>
  </si>
  <si>
    <t>Gift Acceptance &amp; Refusal Log</t>
  </si>
  <si>
    <t>Operate per Gift Acceptance Policy; record any refused gifts and rationale (e.g., restricted, anti-social conditions).</t>
  </si>
  <si>
    <t>Gift Acceptance Policy; DGR rules</t>
  </si>
  <si>
    <t>Gift log</t>
  </si>
  <si>
    <t>PROG-01</t>
  </si>
  <si>
    <t>Program KPI &amp; Output Review</t>
  </si>
  <si>
    <t>Collect KPI data (outputs, beneficiaries served) and compare against monthly targets; highlight shortfalls and corrective actions.</t>
  </si>
  <si>
    <t>Grant agreements; ACNC AIS programs section</t>
  </si>
  <si>
    <t>Program Managers / M&amp;E Officer</t>
  </si>
  <si>
    <t>KPI dashboard, M&amp;E reports</t>
  </si>
  <si>
    <t>PROG-02</t>
  </si>
  <si>
    <t>Beneficiary Records &amp; Privacy</t>
  </si>
  <si>
    <t>Ensure beneficiary records are current, consent recorded, and data stored per privacy policy; purge outdated data as required.</t>
  </si>
  <si>
    <t>Program Manager / Privacy Officer</t>
  </si>
  <si>
    <t>Beneficiary registers, consent forms</t>
  </si>
  <si>
    <t>PROG-03</t>
  </si>
  <si>
    <t>Safeguarding &amp; WWCC Checks</t>
  </si>
  <si>
    <t>Verify staff and volunteer WWCC/work with vulnerable people checks up to date and completed; ensure safeguarding training completed.</t>
  </si>
  <si>
    <t>State child safety laws; ACNC guidance</t>
  </si>
  <si>
    <t>Program Director / HR</t>
  </si>
  <si>
    <t>WWCC register, training records</t>
  </si>
  <si>
    <t>PROG-04</t>
  </si>
  <si>
    <t>Client Feedback &amp; Complaints</t>
  </si>
  <si>
    <t>Review service user feedback, complaints and outcomes; implement corrective actions and improvements.</t>
  </si>
  <si>
    <t>ACNC governance standards; complaints policy</t>
  </si>
  <si>
    <t>Quality Manager / Program Manager</t>
  </si>
  <si>
    <t>Feedback logs, complaints register</t>
  </si>
  <si>
    <t>PROG-05</t>
  </si>
  <si>
    <t>Program Budget &amp; Expenditure Tracking</t>
  </si>
  <si>
    <t>Confirm program expenditure aligns to budgets and grant conditions; code transactions correctly.</t>
  </si>
  <si>
    <t>Grant agreements; finance controls</t>
  </si>
  <si>
    <t>Program Manager / Finance</t>
  </si>
  <si>
    <t>Program ledger, variance reports</t>
  </si>
  <si>
    <t>PROG-06</t>
  </si>
  <si>
    <t>Partnership &amp; Sub-grant Oversight</t>
  </si>
  <si>
    <t>Review partner performance, ensure MOUs and sub-grant documentation are up-to-date and funds used appropriately.</t>
  </si>
  <si>
    <t>ACNC External Conduct Standards (if overseas); grant rules</t>
  </si>
  <si>
    <t>Program Manager / Grants Officer</t>
  </si>
  <si>
    <t>Partner reports, MOU register</t>
  </si>
  <si>
    <t>HR-01</t>
  </si>
  <si>
    <t>Payroll &amp; Contractor Classification Review</t>
  </si>
  <si>
    <t>Spot-check contractor vs employee classification; ensure correct PAYG withholding and super for employees.</t>
  </si>
  <si>
    <t>Fair Work Act; ATO guidance</t>
  </si>
  <si>
    <t>HR Manager / Payroll</t>
  </si>
  <si>
    <t>Contractor files, payroll reports</t>
  </si>
  <si>
    <t>HR-02</t>
  </si>
  <si>
    <t>Mandatory Training &amp; Licences</t>
  </si>
  <si>
    <t>Track completion of mandatory training (WHS, safeguarding, privacy) and professional registrations.</t>
  </si>
  <si>
    <t>WHS legislation; ACNC governance standards</t>
  </si>
  <si>
    <t>HR Manager / Training Coordinator</t>
  </si>
  <si>
    <t>Training matrix, certificates</t>
  </si>
  <si>
    <t>HR-03</t>
  </si>
  <si>
    <t>Background Checks &amp; WWCC</t>
  </si>
  <si>
    <t>Verify criminal history and WWCC checks for staff &amp; volunteers working with vulnerable groups are current.</t>
  </si>
  <si>
    <t>State screening laws; ACNC guidance</t>
  </si>
  <si>
    <t>Volunteer Coordinator / HR</t>
  </si>
  <si>
    <t>Screening register</t>
  </si>
  <si>
    <t>HR-04</t>
  </si>
  <si>
    <t>Volunteer Agreements &amp; Insurance</t>
  </si>
  <si>
    <t>Ensure volunteer agreements are signed, roles defined and covered by volunteer insurance.</t>
  </si>
  <si>
    <t>Insurance policy; volunteer policy</t>
  </si>
  <si>
    <t>Volunteer Coordinator</t>
  </si>
  <si>
    <t>Volunteer register, signed agreements</t>
  </si>
  <si>
    <t>HR-05</t>
  </si>
  <si>
    <t>Performance &amp; Wellbeing Check-ins</t>
  </si>
  <si>
    <t>Managers complete short monthly wellbeing check-ins; track significant HR issues for escalation.</t>
  </si>
  <si>
    <t>Workplace health guidance</t>
  </si>
  <si>
    <t>Line Managers / HR</t>
  </si>
  <si>
    <t>Check-in notes, HR case log</t>
  </si>
  <si>
    <t>RISK-01</t>
  </si>
  <si>
    <t>Risk Register Review &amp; Top Risks</t>
  </si>
  <si>
    <t>Update risk register, reassess controls and residual ratings for top 10 risks; verify mitigation actions underway.</t>
  </si>
  <si>
    <t>ACNC Governance Standards; internal risk policy</t>
  </si>
  <si>
    <t>Risk &amp; Compliance Officer / Executive</t>
  </si>
  <si>
    <t>Updated risk register, action tracker</t>
  </si>
  <si>
    <t>RISK-02</t>
  </si>
  <si>
    <t>WHS Inspection &amp; Hazard Log</t>
  </si>
  <si>
    <t>Conduct site inspections, update hazard log and confirm corrective actions closed or scheduled.</t>
  </si>
  <si>
    <t>WHS legislation</t>
  </si>
  <si>
    <t>WHS Officer / Facilities</t>
  </si>
  <si>
    <t>Inspection checklist, hazard log</t>
  </si>
  <si>
    <t>RISK-03</t>
  </si>
  <si>
    <t>Incident Management &amp; Reporting</t>
  </si>
  <si>
    <t>Review incidents (safety, financial, reputational); confirm investigations, corrective actions and reports to insurers/board as required.</t>
  </si>
  <si>
    <t>Insurance conditions; ACNC incident guidance</t>
  </si>
  <si>
    <t>Risk Officer / Program Manager</t>
  </si>
  <si>
    <t>Incident register, investigation reports</t>
  </si>
  <si>
    <t>RISK-04</t>
  </si>
  <si>
    <t>Cybersecurity &amp; Access Review</t>
  </si>
  <si>
    <t>Review user accounts, privileged access, MFA compliance, backups tested and incident response readiness; patching status.</t>
  </si>
  <si>
    <t>OAIC guidance; Cybersecurity frameworks</t>
  </si>
  <si>
    <t>IT Manager / Security Officer</t>
  </si>
  <si>
    <t>Access logs, backup test evidence, vulnerability scan summary</t>
  </si>
  <si>
    <t>RISK-05</t>
  </si>
  <si>
    <t>Data Breach Readiness &amp; NDB Assessment</t>
  </si>
  <si>
    <t>Confirm data breach response plan in place and test; assess any suspected breaches against NDB criteria and notify OAIC/affected individuals if required.</t>
  </si>
  <si>
    <t>OAIC NDB scheme guidance</t>
  </si>
  <si>
    <t>Privacy Officer / IT Manager</t>
  </si>
  <si>
    <t>Monthly (or after any incident)</t>
  </si>
  <si>
    <t>Breach response plan, assessment notes, notifications if any</t>
  </si>
  <si>
    <t>RISK-06</t>
  </si>
  <si>
    <t>Insurance Policy Review</t>
  </si>
  <si>
    <t>Ensure policies in force, claims recorded and renewal premiums budgeted.</t>
  </si>
  <si>
    <t>Insurance contracts; risk policy</t>
  </si>
  <si>
    <t>CFO / Risk Officer</t>
  </si>
  <si>
    <t>Insurance register, certificates</t>
  </si>
  <si>
    <t>COMMS-01</t>
  </si>
  <si>
    <t>Website &amp; Charity Register Public Info</t>
  </si>
  <si>
    <t>Ensure ACNC Charity Register public information and website pages reflect correct charitable purpose, fundraising, contact details and governance statements.</t>
  </si>
  <si>
    <t>ACNC public disclosure guidance</t>
  </si>
  <si>
    <t>Communications Manager / Company Secretary</t>
  </si>
  <si>
    <t>Website screenshots, ACNC register check</t>
  </si>
  <si>
    <t>COMMS-02</t>
  </si>
  <si>
    <t>Annual Information Statement Readiness</t>
  </si>
  <si>
    <t>Maintain required records for AIS (program descriptions, revenue figures, related parties, overseas activities) so that the AIS can be completed accurately when due.</t>
  </si>
  <si>
    <t>ACNC Annual Information Statement guidance</t>
  </si>
  <si>
    <t>Company Secretary / Finance / Programs</t>
  </si>
  <si>
    <t>AIS working file, program evidence</t>
  </si>
  <si>
    <t>COMMS-03</t>
  </si>
  <si>
    <t>Donor &amp; Stakeholder Communications</t>
  </si>
  <si>
    <t>Prepare monthly donor update, publish impact stories only where consistent with consent and privacy; track opt-outs.</t>
  </si>
  <si>
    <t>Privacy Act; donor communication policy</t>
  </si>
  <si>
    <t>Fundraising / Communications</t>
  </si>
  <si>
    <t>Mailing lists, campaign reports</t>
  </si>
  <si>
    <t>COMMS-04</t>
  </si>
  <si>
    <t>Media &amp; Reputation Monitoring</t>
  </si>
  <si>
    <t>Monitor media/social media for mentions or issues; escalate reputational issues to Exec &amp; Board.</t>
  </si>
  <si>
    <t>ACNC charity standards (reputational risk)</t>
  </si>
  <si>
    <t>Communications Manager</t>
  </si>
  <si>
    <t>Daily/Monthly summary</t>
  </si>
  <si>
    <t>Media log, escalation records</t>
  </si>
  <si>
    <t>COMMS-05</t>
  </si>
  <si>
    <t>External Reporting &amp; Grant Requirements</t>
  </si>
  <si>
    <t>Track upcoming grant reporting deadlines and ensure deliverables/metrics are collated monthly.</t>
  </si>
  <si>
    <t>Grant agreements; funder conditions</t>
  </si>
  <si>
    <t>Reporting schedule, draft reports</t>
  </si>
  <si>
    <t>Governance Checklist</t>
  </si>
  <si>
    <t>Finance Checklist</t>
  </si>
  <si>
    <t>Fundraising Checklist</t>
  </si>
  <si>
    <t>Programs Checklist</t>
  </si>
  <si>
    <t>Dashboard</t>
  </si>
  <si>
    <t>HR and Volunteers Checklist</t>
  </si>
  <si>
    <t>Risk and Compliance Checklist</t>
  </si>
  <si>
    <t>Communications and Reporting Checklist</t>
  </si>
  <si>
    <t>Monthly Charity Compliance -  Summary</t>
  </si>
  <si>
    <t>Not started</t>
  </si>
  <si>
    <t>Period:</t>
  </si>
  <si>
    <t>HR and Volunteers</t>
  </si>
  <si>
    <t>Risk and Compliance</t>
  </si>
  <si>
    <t>Communications and Reporting</t>
  </si>
  <si>
    <t>Sign off:</t>
  </si>
  <si>
    <t>Date:</t>
  </si>
  <si>
    <t>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</si>
</sst>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0"/>
      <name val="Calibri"/>
      <family val="2"/>
    </font>
    <font>
      <b/>
      <sz val="28"/>
      <name val="Cambria"/>
      <family val="1"/>
      <scheme val="major"/>
    </font>
    <font>
      <sz val="28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79998168889431442"/>
      </left>
      <right/>
      <top style="thin">
        <color theme="5" tint="0.79998168889431442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9" fontId="0" fillId="0" borderId="1" xfId="2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6" fillId="0" borderId="0" xfId="0" applyFont="1" applyAlignment="1">
      <alignment wrapText="1"/>
    </xf>
    <xf numFmtId="0" fontId="0" fillId="3" borderId="3" xfId="0" applyFill="1" applyBorder="1" applyAlignment="1">
      <alignment horizontal="left"/>
    </xf>
  </cellXfs>
  <cellStyles count="3">
    <cellStyle name="Normal" xfId="0" builtinId="0"/>
    <cellStyle name="Percent" xfId="2" builtinId="5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D88CC-2B6C-4A72-BE87-B4596DA29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E4B1F-8AAD-4006-B550-17209A702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1</xdr:col>
      <xdr:colOff>607641</xdr:colOff>
      <xdr:row>0</xdr:row>
      <xdr:rowOff>1371600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E1950-DE1E-4A1F-AB52-4397FEC1D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0"/>
          <a:ext cx="1102941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A15CA5-8DDE-4464-BEB8-4604C7550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FA0D4-6FA1-4D44-BF03-AC63BDF4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46B6D-D741-4443-8811-6B476D373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FFCAD-7B46-4CEA-BFD1-F950E437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108C0-869B-42D5-A674-F731C5B4B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1093505</xdr:colOff>
      <xdr:row>0</xdr:row>
      <xdr:rowOff>1322091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ED66D-DAC5-491C-BE40-1C1EBD044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505" cy="1322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tabSelected="1" workbookViewId="0">
      <selection activeCell="E15" sqref="E15"/>
    </sheetView>
  </sheetViews>
  <sheetFormatPr defaultRowHeight="15" x14ac:dyDescent="0.25"/>
  <cols>
    <col min="1" max="1" width="30.5703125" bestFit="1" customWidth="1"/>
    <col min="2" max="2" width="10.5703125" bestFit="1" customWidth="1"/>
    <col min="3" max="3" width="16.140625" bestFit="1" customWidth="1"/>
    <col min="4" max="4" width="11.7109375" bestFit="1" customWidth="1"/>
    <col min="5" max="5" width="20.140625" bestFit="1" customWidth="1"/>
  </cols>
  <sheetData>
    <row r="1" spans="1:5" ht="108.75" customHeight="1" x14ac:dyDescent="0.25">
      <c r="B1" s="7" t="s">
        <v>388</v>
      </c>
    </row>
    <row r="2" spans="1:5" x14ac:dyDescent="0.25">
      <c r="A2" t="s">
        <v>394</v>
      </c>
      <c r="B2" s="16"/>
      <c r="C2" s="16"/>
    </row>
    <row r="4" spans="1:5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5" x14ac:dyDescent="0.25">
      <c r="A5" s="3" t="s">
        <v>5</v>
      </c>
      <c r="B5" s="8">
        <v>15</v>
      </c>
      <c r="C5" s="8">
        <f>+COUNTIF(Governance!$K$3:$K$18,"Completed")</f>
        <v>0</v>
      </c>
      <c r="D5" s="10">
        <f>+C5/B5</f>
        <v>0</v>
      </c>
      <c r="E5" s="11"/>
    </row>
    <row r="6" spans="1:5" x14ac:dyDescent="0.25">
      <c r="A6" s="3" t="s">
        <v>6</v>
      </c>
      <c r="B6" s="8">
        <v>13</v>
      </c>
      <c r="C6" s="8">
        <f>+COUNTIF(Finance!$K$3:$K$15,"Completed")</f>
        <v>0</v>
      </c>
      <c r="D6" s="10">
        <f t="shared" ref="D6:D11" si="0">+C6/B6</f>
        <v>0</v>
      </c>
      <c r="E6" s="11"/>
    </row>
    <row r="7" spans="1:5" x14ac:dyDescent="0.25">
      <c r="A7" s="3" t="s">
        <v>7</v>
      </c>
      <c r="B7" s="8">
        <v>7</v>
      </c>
      <c r="C7" s="8">
        <f>+COUNTIF(Fundraising!$K$3:$K$9,"Completed")</f>
        <v>0</v>
      </c>
      <c r="D7" s="10">
        <f t="shared" si="0"/>
        <v>0</v>
      </c>
      <c r="E7" s="11"/>
    </row>
    <row r="8" spans="1:5" x14ac:dyDescent="0.25">
      <c r="A8" s="3" t="s">
        <v>8</v>
      </c>
      <c r="B8" s="8">
        <v>6</v>
      </c>
      <c r="C8" s="8">
        <f>+COUNTIF(Programs!$K$3:$K$8,"Completed")</f>
        <v>0</v>
      </c>
      <c r="D8" s="10">
        <f t="shared" si="0"/>
        <v>0</v>
      </c>
      <c r="E8" s="11"/>
    </row>
    <row r="9" spans="1:5" x14ac:dyDescent="0.25">
      <c r="A9" s="3" t="s">
        <v>395</v>
      </c>
      <c r="B9" s="8">
        <v>5</v>
      </c>
      <c r="C9" s="8">
        <f>+COUNTIF('HR and Volunteers'!$K$3:$K$7,"Completed")</f>
        <v>0</v>
      </c>
      <c r="D9" s="10">
        <f t="shared" si="0"/>
        <v>0</v>
      </c>
      <c r="E9" s="11"/>
    </row>
    <row r="10" spans="1:5" x14ac:dyDescent="0.25">
      <c r="A10" s="3" t="s">
        <v>396</v>
      </c>
      <c r="B10" s="8">
        <v>6</v>
      </c>
      <c r="C10" s="8">
        <f>+COUNTIF('Risk and Compliance'!$K$3:$K$8,"Completed")</f>
        <v>0</v>
      </c>
      <c r="D10" s="10">
        <f t="shared" si="0"/>
        <v>0</v>
      </c>
      <c r="E10" s="11"/>
    </row>
    <row r="11" spans="1:5" x14ac:dyDescent="0.25">
      <c r="A11" s="3" t="s">
        <v>397</v>
      </c>
      <c r="B11" s="8">
        <v>5</v>
      </c>
      <c r="C11" s="8">
        <f>+COUNTIF('Communications and Reporting'!$K$3:$K$7,"Completed")</f>
        <v>0</v>
      </c>
      <c r="D11" s="10">
        <f t="shared" si="0"/>
        <v>0</v>
      </c>
      <c r="E11" s="11"/>
    </row>
  </sheetData>
  <mergeCells count="1">
    <mergeCell ref="B2:C2"/>
  </mergeCells>
  <pageMargins left="0.74803149606299213" right="0.74803149606299213" top="0.98425196850393704" bottom="0.98425196850393704" header="0.51181102362204722" footer="0.5118110236220472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workbookViewId="0">
      <selection activeCell="E19" sqref="E19"/>
    </sheetView>
  </sheetViews>
  <sheetFormatPr defaultRowHeight="15" x14ac:dyDescent="0.25"/>
  <cols>
    <col min="1" max="1" width="27" style="1" customWidth="1"/>
    <col min="2" max="2" width="9.140625" style="1"/>
    <col min="3" max="3" width="11" style="1" customWidth="1"/>
    <col min="4" max="4" width="10.7109375" style="1" customWidth="1"/>
    <col min="5" max="5" width="84.28515625" style="1" customWidth="1"/>
  </cols>
  <sheetData>
    <row r="1" spans="1:5" ht="108.75" customHeight="1" x14ac:dyDescent="0.25">
      <c r="B1" s="7" t="s">
        <v>392</v>
      </c>
    </row>
    <row r="2" spans="1:5" x14ac:dyDescent="0.25">
      <c r="A2" t="s">
        <v>394</v>
      </c>
      <c r="B2" s="16"/>
      <c r="C2" s="16"/>
      <c r="D2"/>
      <c r="E2"/>
    </row>
    <row r="4" spans="1:5" ht="30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12</v>
      </c>
    </row>
    <row r="5" spans="1:5" ht="30" x14ac:dyDescent="0.25">
      <c r="A5" s="2" t="s">
        <v>5</v>
      </c>
      <c r="B5" s="9">
        <v>15</v>
      </c>
      <c r="C5" s="8">
        <f>+COUNTIF(Governance!$K$3:$K$18,"Completed")</f>
        <v>0</v>
      </c>
      <c r="D5" s="10">
        <f>+C5/B5</f>
        <v>0</v>
      </c>
      <c r="E5" s="2" t="s">
        <v>13</v>
      </c>
    </row>
    <row r="6" spans="1:5" ht="30" x14ac:dyDescent="0.25">
      <c r="A6" s="2" t="s">
        <v>6</v>
      </c>
      <c r="B6" s="9">
        <v>13</v>
      </c>
      <c r="C6" s="8">
        <f>+COUNTIF(Finance!$K$3:$K$15,"Completed")</f>
        <v>0</v>
      </c>
      <c r="D6" s="10">
        <f t="shared" ref="D6:D11" si="0">+C6/B6</f>
        <v>0</v>
      </c>
      <c r="E6" s="2" t="s">
        <v>14</v>
      </c>
    </row>
    <row r="7" spans="1:5" ht="45" x14ac:dyDescent="0.25">
      <c r="A7" s="2" t="s">
        <v>7</v>
      </c>
      <c r="B7" s="9">
        <v>7</v>
      </c>
      <c r="C7" s="8">
        <f>+COUNTIF(Fundraising!$K$3:$K$9,"Completed")</f>
        <v>0</v>
      </c>
      <c r="D7" s="10">
        <f t="shared" si="0"/>
        <v>0</v>
      </c>
      <c r="E7" s="2" t="s">
        <v>15</v>
      </c>
    </row>
    <row r="8" spans="1:5" ht="30" x14ac:dyDescent="0.25">
      <c r="A8" s="2" t="s">
        <v>8</v>
      </c>
      <c r="B8" s="9">
        <v>6</v>
      </c>
      <c r="C8" s="8">
        <f>+COUNTIF(Programs!$K$3:$K$8,"Completed")</f>
        <v>0</v>
      </c>
      <c r="D8" s="10">
        <f t="shared" si="0"/>
        <v>0</v>
      </c>
      <c r="E8" s="2" t="s">
        <v>16</v>
      </c>
    </row>
    <row r="9" spans="1:5" ht="30" x14ac:dyDescent="0.25">
      <c r="A9" s="2" t="s">
        <v>9</v>
      </c>
      <c r="B9" s="9">
        <v>5</v>
      </c>
      <c r="C9" s="8">
        <f>+COUNTIF('HR and Volunteers'!$K$3:$K$7,"Completed")</f>
        <v>0</v>
      </c>
      <c r="D9" s="10">
        <f t="shared" si="0"/>
        <v>0</v>
      </c>
      <c r="E9" s="2" t="s">
        <v>17</v>
      </c>
    </row>
    <row r="10" spans="1:5" ht="30" x14ac:dyDescent="0.25">
      <c r="A10" s="2" t="s">
        <v>10</v>
      </c>
      <c r="B10" s="9">
        <v>6</v>
      </c>
      <c r="C10" s="8">
        <f>+COUNTIF('Risk and Compliance'!$K$3:$K$8,"Completed")</f>
        <v>0</v>
      </c>
      <c r="D10" s="10">
        <f t="shared" si="0"/>
        <v>0</v>
      </c>
      <c r="E10" s="2" t="s">
        <v>18</v>
      </c>
    </row>
    <row r="11" spans="1:5" ht="45" x14ac:dyDescent="0.25">
      <c r="A11" s="2" t="s">
        <v>11</v>
      </c>
      <c r="B11" s="9">
        <v>5</v>
      </c>
      <c r="C11" s="8">
        <f>+COUNTIF('Communications and Reporting'!$K$3:$K$7,"Completed")</f>
        <v>0</v>
      </c>
      <c r="D11" s="10">
        <f t="shared" si="0"/>
        <v>0</v>
      </c>
      <c r="E11" s="2" t="s">
        <v>19</v>
      </c>
    </row>
    <row r="13" spans="1:5" x14ac:dyDescent="0.25">
      <c r="A13" s="15" t="s">
        <v>398</v>
      </c>
      <c r="B13" s="14"/>
      <c r="C13" s="14"/>
      <c r="D13" s="14"/>
    </row>
    <row r="15" spans="1:5" x14ac:dyDescent="0.25">
      <c r="A15" s="15" t="s">
        <v>399</v>
      </c>
      <c r="B15" s="14"/>
      <c r="C15" s="14"/>
      <c r="D15" s="14"/>
    </row>
    <row r="17" spans="1:4" x14ac:dyDescent="0.25">
      <c r="A17" s="15" t="s">
        <v>400</v>
      </c>
      <c r="B17" s="14"/>
      <c r="C17" s="14"/>
      <c r="D17" s="14"/>
    </row>
  </sheetData>
  <mergeCells count="1">
    <mergeCell ref="B2:C2"/>
  </mergeCells>
  <pageMargins left="0.74803149606299213" right="0.74803149606299213" top="0.98425196850393704" bottom="0.98425196850393704" header="0.51181102362204722" footer="0.51181102362204722"/>
  <pageSetup paperSize="9" scale="9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7"/>
  <sheetViews>
    <sheetView zoomScaleNormal="100" workbookViewId="0">
      <selection activeCell="K6" sqref="K6"/>
    </sheetView>
  </sheetViews>
  <sheetFormatPr defaultRowHeight="15" x14ac:dyDescent="0.25"/>
  <cols>
    <col min="1" max="1" width="7.7109375" bestFit="1" customWidth="1"/>
    <col min="2" max="2" width="28.7109375" style="1" customWidth="1"/>
    <col min="3" max="3" width="32.5703125" style="1" customWidth="1"/>
    <col min="4" max="4" width="21.7109375" style="1" customWidth="1"/>
    <col min="5" max="5" width="18.5703125" style="1" customWidth="1"/>
    <col min="6" max="6" width="17.7109375" style="1" customWidth="1"/>
    <col min="7" max="7" width="21" style="1" customWidth="1"/>
    <col min="8" max="8" width="16.28515625" style="1" bestFit="1" customWidth="1"/>
    <col min="9" max="9" width="15.5703125" style="1" bestFit="1" customWidth="1"/>
    <col min="10" max="10" width="10.5703125" style="1" bestFit="1" customWidth="1"/>
    <col min="11" max="11" width="11.140625" style="1" customWidth="1"/>
    <col min="12" max="12" width="13.85546875" style="1" bestFit="1" customWidth="1"/>
  </cols>
  <sheetData>
    <row r="1" spans="1:12" ht="108.75" customHeight="1" x14ac:dyDescent="0.25">
      <c r="C1" s="7" t="s">
        <v>384</v>
      </c>
      <c r="D1" s="6"/>
      <c r="E1" s="6"/>
      <c r="F1" s="6"/>
      <c r="G1" s="6"/>
      <c r="H1" s="6"/>
    </row>
    <row r="2" spans="1:12" ht="30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</row>
    <row r="3" spans="1:12" ht="75" x14ac:dyDescent="0.25">
      <c r="A3" s="3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12"/>
      <c r="I3" s="12"/>
      <c r="J3" s="12"/>
      <c r="K3" s="12" t="s">
        <v>393</v>
      </c>
      <c r="L3" s="12"/>
    </row>
    <row r="4" spans="1:12" ht="75" x14ac:dyDescent="0.25">
      <c r="A4" s="3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37</v>
      </c>
      <c r="G4" s="2" t="s">
        <v>44</v>
      </c>
      <c r="H4" s="12"/>
      <c r="I4" s="12"/>
      <c r="J4" s="12"/>
      <c r="K4" s="12" t="s">
        <v>393</v>
      </c>
      <c r="L4" s="12"/>
    </row>
    <row r="5" spans="1:12" ht="90" x14ac:dyDescent="0.25">
      <c r="A5" s="3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12"/>
      <c r="I5" s="12"/>
      <c r="J5" s="12"/>
      <c r="K5" s="12" t="s">
        <v>393</v>
      </c>
      <c r="L5" s="12"/>
    </row>
    <row r="6" spans="1:12" ht="105" x14ac:dyDescent="0.25">
      <c r="A6" s="3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12"/>
      <c r="I6" s="12"/>
      <c r="J6" s="12"/>
      <c r="K6" s="12" t="s">
        <v>393</v>
      </c>
      <c r="L6" s="12"/>
    </row>
    <row r="7" spans="1:12" ht="60" x14ac:dyDescent="0.25">
      <c r="A7" s="3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37</v>
      </c>
      <c r="G7" s="2" t="s">
        <v>64</v>
      </c>
      <c r="H7" s="12"/>
      <c r="I7" s="12"/>
      <c r="J7" s="12"/>
      <c r="K7" s="12" t="s">
        <v>393</v>
      </c>
      <c r="L7" s="12"/>
    </row>
    <row r="8" spans="1:12" ht="45" x14ac:dyDescent="0.25">
      <c r="A8" s="3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12"/>
      <c r="I8" s="12"/>
      <c r="J8" s="12"/>
      <c r="K8" s="12"/>
      <c r="L8" s="12"/>
    </row>
    <row r="9" spans="1:12" ht="60" x14ac:dyDescent="0.25">
      <c r="A9" s="3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37</v>
      </c>
      <c r="G9" s="2" t="s">
        <v>77</v>
      </c>
      <c r="H9" s="12"/>
      <c r="I9" s="12"/>
      <c r="J9" s="12"/>
      <c r="K9" s="12"/>
      <c r="L9" s="12"/>
    </row>
    <row r="10" spans="1:12" ht="75" x14ac:dyDescent="0.25">
      <c r="A10" s="3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12"/>
      <c r="I10" s="12"/>
      <c r="J10" s="12"/>
      <c r="K10" s="12"/>
      <c r="L10" s="12"/>
    </row>
    <row r="11" spans="1:12" ht="75" x14ac:dyDescent="0.25">
      <c r="A11" s="3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37</v>
      </c>
      <c r="G11" s="2" t="s">
        <v>90</v>
      </c>
      <c r="H11" s="12"/>
      <c r="I11" s="12"/>
      <c r="J11" s="12"/>
      <c r="K11" s="12"/>
      <c r="L11" s="12"/>
    </row>
    <row r="12" spans="1:12" ht="60" x14ac:dyDescent="0.25">
      <c r="A12" s="3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37</v>
      </c>
      <c r="G12" s="2" t="s">
        <v>96</v>
      </c>
      <c r="H12" s="12"/>
      <c r="I12" s="12"/>
      <c r="J12" s="12"/>
      <c r="K12" s="12"/>
      <c r="L12" s="12"/>
    </row>
    <row r="13" spans="1:12" ht="75" x14ac:dyDescent="0.25">
      <c r="A13" s="3" t="s">
        <v>97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103</v>
      </c>
      <c r="H13" s="12"/>
      <c r="I13" s="12"/>
      <c r="J13" s="12"/>
      <c r="K13" s="12"/>
      <c r="L13" s="12"/>
    </row>
    <row r="14" spans="1:12" ht="60" x14ac:dyDescent="0.25">
      <c r="A14" s="3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83</v>
      </c>
      <c r="G14" s="2" t="s">
        <v>109</v>
      </c>
      <c r="H14" s="12"/>
      <c r="I14" s="12"/>
      <c r="J14" s="12"/>
      <c r="K14" s="12"/>
      <c r="L14" s="12"/>
    </row>
    <row r="15" spans="1:12" ht="60" x14ac:dyDescent="0.25">
      <c r="A15" s="3" t="s">
        <v>110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37</v>
      </c>
      <c r="G15" s="2" t="s">
        <v>115</v>
      </c>
      <c r="H15" s="12"/>
      <c r="I15" s="12"/>
      <c r="J15" s="12"/>
      <c r="K15" s="12"/>
      <c r="L15" s="12"/>
    </row>
    <row r="16" spans="1:12" ht="75" x14ac:dyDescent="0.25">
      <c r="A16" s="3" t="s">
        <v>116</v>
      </c>
      <c r="B16" s="2" t="s">
        <v>117</v>
      </c>
      <c r="C16" s="2" t="s">
        <v>118</v>
      </c>
      <c r="D16" s="2" t="s">
        <v>119</v>
      </c>
      <c r="E16" s="2" t="s">
        <v>120</v>
      </c>
      <c r="F16" s="2" t="s">
        <v>37</v>
      </c>
      <c r="G16" s="2" t="s">
        <v>121</v>
      </c>
      <c r="H16" s="12"/>
      <c r="I16" s="12"/>
      <c r="J16" s="12"/>
      <c r="K16" s="12"/>
      <c r="L16" s="12"/>
    </row>
    <row r="17" spans="1:12" ht="60" x14ac:dyDescent="0.25">
      <c r="A17" s="3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37</v>
      </c>
      <c r="G17" s="2" t="s">
        <v>127</v>
      </c>
      <c r="H17" s="12"/>
      <c r="I17" s="12"/>
      <c r="J17" s="12"/>
      <c r="K17" s="12"/>
      <c r="L17" s="12"/>
    </row>
  </sheetData>
  <dataValidations count="1">
    <dataValidation type="list" allowBlank="1" showInputMessage="1" showErrorMessage="1" sqref="K3:K215" xr:uid="{00000000-0002-0000-02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5"/>
  <sheetViews>
    <sheetView workbookViewId="0">
      <selection activeCell="M4" sqref="M4"/>
    </sheetView>
  </sheetViews>
  <sheetFormatPr defaultRowHeight="15" x14ac:dyDescent="0.25"/>
  <cols>
    <col min="1" max="12" width="28" style="1" customWidth="1"/>
  </cols>
  <sheetData>
    <row r="1" spans="1:12" ht="108.75" customHeight="1" x14ac:dyDescent="0.25">
      <c r="B1" s="7" t="s">
        <v>385</v>
      </c>
    </row>
    <row r="2" spans="1:12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ht="75" x14ac:dyDescent="0.25">
      <c r="A3" s="2" t="s">
        <v>128</v>
      </c>
      <c r="B3" s="2" t="s">
        <v>129</v>
      </c>
      <c r="C3" s="2" t="s">
        <v>130</v>
      </c>
      <c r="D3" s="2" t="s">
        <v>131</v>
      </c>
      <c r="E3" s="2" t="s">
        <v>132</v>
      </c>
      <c r="F3" s="2" t="s">
        <v>37</v>
      </c>
      <c r="G3" s="2" t="s">
        <v>133</v>
      </c>
      <c r="H3" s="13"/>
      <c r="I3" s="13"/>
      <c r="J3" s="13"/>
      <c r="K3" s="13" t="s">
        <v>393</v>
      </c>
      <c r="L3" s="13"/>
    </row>
    <row r="4" spans="1:12" ht="90" x14ac:dyDescent="0.25">
      <c r="A4" s="2" t="s">
        <v>134</v>
      </c>
      <c r="B4" s="2" t="s">
        <v>135</v>
      </c>
      <c r="C4" s="2" t="s">
        <v>136</v>
      </c>
      <c r="D4" s="2" t="s">
        <v>137</v>
      </c>
      <c r="E4" s="2" t="s">
        <v>138</v>
      </c>
      <c r="F4" s="2" t="s">
        <v>37</v>
      </c>
      <c r="G4" s="2" t="s">
        <v>139</v>
      </c>
      <c r="H4" s="13"/>
      <c r="I4" s="13"/>
      <c r="J4" s="13"/>
      <c r="K4" s="13"/>
      <c r="L4" s="13"/>
    </row>
    <row r="5" spans="1:12" ht="75" x14ac:dyDescent="0.25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  <c r="F5" s="2" t="s">
        <v>37</v>
      </c>
      <c r="G5" s="2" t="s">
        <v>145</v>
      </c>
      <c r="H5" s="13"/>
      <c r="I5" s="13"/>
      <c r="J5" s="13"/>
      <c r="K5" s="13"/>
      <c r="L5" s="13"/>
    </row>
    <row r="6" spans="1:12" ht="75" x14ac:dyDescent="0.25">
      <c r="A6" s="2" t="s">
        <v>146</v>
      </c>
      <c r="B6" s="2" t="s">
        <v>147</v>
      </c>
      <c r="C6" s="2" t="s">
        <v>148</v>
      </c>
      <c r="D6" s="2" t="s">
        <v>149</v>
      </c>
      <c r="E6" s="2" t="s">
        <v>150</v>
      </c>
      <c r="F6" s="2" t="s">
        <v>151</v>
      </c>
      <c r="G6" s="2" t="s">
        <v>152</v>
      </c>
      <c r="H6" s="13"/>
      <c r="I6" s="13"/>
      <c r="J6" s="13"/>
      <c r="K6" s="13"/>
      <c r="L6" s="13"/>
    </row>
    <row r="7" spans="1:12" ht="60" x14ac:dyDescent="0.25">
      <c r="A7" s="2" t="s">
        <v>153</v>
      </c>
      <c r="B7" s="2" t="s">
        <v>154</v>
      </c>
      <c r="C7" s="2" t="s">
        <v>155</v>
      </c>
      <c r="D7" s="2" t="s">
        <v>156</v>
      </c>
      <c r="E7" s="2" t="s">
        <v>157</v>
      </c>
      <c r="F7" s="2" t="s">
        <v>158</v>
      </c>
      <c r="G7" s="2" t="s">
        <v>159</v>
      </c>
      <c r="H7" s="13"/>
      <c r="I7" s="13"/>
      <c r="J7" s="13"/>
      <c r="K7" s="13"/>
      <c r="L7" s="13"/>
    </row>
    <row r="8" spans="1:12" ht="75" x14ac:dyDescent="0.25">
      <c r="A8" s="2" t="s">
        <v>160</v>
      </c>
      <c r="B8" s="2" t="s">
        <v>161</v>
      </c>
      <c r="C8" s="2" t="s">
        <v>162</v>
      </c>
      <c r="D8" s="2" t="s">
        <v>163</v>
      </c>
      <c r="E8" s="2" t="s">
        <v>164</v>
      </c>
      <c r="F8" s="2" t="s">
        <v>165</v>
      </c>
      <c r="G8" s="2" t="s">
        <v>166</v>
      </c>
      <c r="H8" s="13"/>
      <c r="I8" s="13"/>
      <c r="J8" s="13"/>
      <c r="K8" s="13"/>
      <c r="L8" s="13"/>
    </row>
    <row r="9" spans="1:12" ht="60" x14ac:dyDescent="0.25">
      <c r="A9" s="2" t="s">
        <v>167</v>
      </c>
      <c r="B9" s="2" t="s">
        <v>168</v>
      </c>
      <c r="C9" s="2" t="s">
        <v>169</v>
      </c>
      <c r="D9" s="2" t="s">
        <v>170</v>
      </c>
      <c r="E9" s="2" t="s">
        <v>171</v>
      </c>
      <c r="F9" s="2" t="s">
        <v>37</v>
      </c>
      <c r="G9" s="2" t="s">
        <v>172</v>
      </c>
      <c r="H9" s="13"/>
      <c r="I9" s="13"/>
      <c r="J9" s="13"/>
      <c r="K9" s="13"/>
      <c r="L9" s="13"/>
    </row>
    <row r="10" spans="1:12" ht="75" x14ac:dyDescent="0.25">
      <c r="A10" s="2" t="s">
        <v>173</v>
      </c>
      <c r="B10" s="2" t="s">
        <v>174</v>
      </c>
      <c r="C10" s="2" t="s">
        <v>175</v>
      </c>
      <c r="D10" s="2" t="s">
        <v>176</v>
      </c>
      <c r="E10" s="2" t="s">
        <v>177</v>
      </c>
      <c r="F10" s="2" t="s">
        <v>37</v>
      </c>
      <c r="G10" s="2" t="s">
        <v>178</v>
      </c>
      <c r="H10" s="13"/>
      <c r="I10" s="13"/>
      <c r="J10" s="13"/>
      <c r="K10" s="13"/>
      <c r="L10" s="13"/>
    </row>
    <row r="11" spans="1:12" ht="60" x14ac:dyDescent="0.25">
      <c r="A11" s="2" t="s">
        <v>179</v>
      </c>
      <c r="B11" s="2" t="s">
        <v>180</v>
      </c>
      <c r="C11" s="2" t="s">
        <v>181</v>
      </c>
      <c r="D11" s="2" t="s">
        <v>182</v>
      </c>
      <c r="E11" s="2" t="s">
        <v>183</v>
      </c>
      <c r="F11" s="2" t="s">
        <v>37</v>
      </c>
      <c r="G11" s="2" t="s">
        <v>184</v>
      </c>
      <c r="H11" s="13"/>
      <c r="I11" s="13"/>
      <c r="J11" s="13"/>
      <c r="K11" s="13"/>
      <c r="L11" s="13"/>
    </row>
    <row r="12" spans="1:12" ht="60" x14ac:dyDescent="0.25">
      <c r="A12" s="2" t="s">
        <v>185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s">
        <v>37</v>
      </c>
      <c r="G12" s="2" t="s">
        <v>190</v>
      </c>
      <c r="H12" s="13"/>
      <c r="I12" s="13"/>
      <c r="J12" s="13"/>
      <c r="K12" s="13"/>
      <c r="L12" s="13"/>
    </row>
    <row r="13" spans="1:12" ht="60" x14ac:dyDescent="0.25">
      <c r="A13" s="2" t="s">
        <v>191</v>
      </c>
      <c r="B13" s="2" t="s">
        <v>192</v>
      </c>
      <c r="C13" s="2" t="s">
        <v>193</v>
      </c>
      <c r="D13" s="2" t="s">
        <v>194</v>
      </c>
      <c r="E13" s="2" t="s">
        <v>195</v>
      </c>
      <c r="F13" s="2" t="s">
        <v>37</v>
      </c>
      <c r="G13" s="2" t="s">
        <v>196</v>
      </c>
      <c r="H13" s="13"/>
      <c r="I13" s="13"/>
      <c r="J13" s="13"/>
      <c r="K13" s="13"/>
      <c r="L13" s="13"/>
    </row>
    <row r="14" spans="1:12" ht="90" x14ac:dyDescent="0.25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  <c r="F14" s="2" t="s">
        <v>37</v>
      </c>
      <c r="G14" s="2" t="s">
        <v>202</v>
      </c>
      <c r="H14" s="13"/>
      <c r="I14" s="13"/>
      <c r="J14" s="13"/>
      <c r="K14" s="13"/>
      <c r="L14" s="13"/>
    </row>
    <row r="15" spans="1:12" ht="75" x14ac:dyDescent="0.25">
      <c r="A15" s="2" t="s">
        <v>203</v>
      </c>
      <c r="B15" s="2" t="s">
        <v>204</v>
      </c>
      <c r="C15" s="2" t="s">
        <v>205</v>
      </c>
      <c r="D15" s="2" t="s">
        <v>206</v>
      </c>
      <c r="E15" s="2" t="s">
        <v>207</v>
      </c>
      <c r="F15" s="2" t="s">
        <v>37</v>
      </c>
      <c r="G15" s="2" t="s">
        <v>208</v>
      </c>
      <c r="H15" s="13"/>
      <c r="I15" s="13"/>
      <c r="J15" s="13"/>
      <c r="K15" s="13"/>
      <c r="L15" s="13"/>
    </row>
  </sheetData>
  <dataValidations count="1">
    <dataValidation type="list" allowBlank="1" showInputMessage="1" showErrorMessage="1" sqref="K3:K215" xr:uid="{00000000-0002-0000-03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9"/>
  <sheetViews>
    <sheetView topLeftCell="C3" workbookViewId="0"/>
  </sheetViews>
  <sheetFormatPr defaultRowHeight="15" x14ac:dyDescent="0.25"/>
  <cols>
    <col min="1" max="12" width="28" style="1" customWidth="1"/>
  </cols>
  <sheetData>
    <row r="1" spans="1:12" ht="108.75" customHeight="1" x14ac:dyDescent="0.25">
      <c r="B1" s="7" t="s">
        <v>386</v>
      </c>
    </row>
    <row r="2" spans="1:12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ht="90" x14ac:dyDescent="0.25">
      <c r="A3" s="2" t="s">
        <v>209</v>
      </c>
      <c r="B3" s="2" t="s">
        <v>210</v>
      </c>
      <c r="C3" s="2" t="s">
        <v>211</v>
      </c>
      <c r="D3" s="2" t="s">
        <v>212</v>
      </c>
      <c r="E3" s="2" t="s">
        <v>213</v>
      </c>
      <c r="F3" s="2" t="s">
        <v>214</v>
      </c>
      <c r="G3" s="2" t="s">
        <v>215</v>
      </c>
      <c r="H3" s="13"/>
      <c r="I3" s="13"/>
      <c r="J3" s="13"/>
      <c r="K3" s="13"/>
      <c r="L3" s="13"/>
    </row>
    <row r="4" spans="1:12" ht="75" x14ac:dyDescent="0.25">
      <c r="A4" s="2" t="s">
        <v>216</v>
      </c>
      <c r="B4" s="2" t="s">
        <v>217</v>
      </c>
      <c r="C4" s="2" t="s">
        <v>218</v>
      </c>
      <c r="D4" s="2" t="s">
        <v>219</v>
      </c>
      <c r="E4" s="2" t="s">
        <v>220</v>
      </c>
      <c r="F4" s="2" t="s">
        <v>37</v>
      </c>
      <c r="G4" s="2" t="s">
        <v>221</v>
      </c>
      <c r="H4" s="13"/>
      <c r="I4" s="13"/>
      <c r="J4" s="13"/>
      <c r="K4" s="13"/>
      <c r="L4" s="13"/>
    </row>
    <row r="5" spans="1:12" ht="75" x14ac:dyDescent="0.25">
      <c r="A5" s="2" t="s">
        <v>222</v>
      </c>
      <c r="B5" s="2" t="s">
        <v>223</v>
      </c>
      <c r="C5" s="2" t="s">
        <v>224</v>
      </c>
      <c r="D5" s="2" t="s">
        <v>225</v>
      </c>
      <c r="E5" s="2" t="s">
        <v>226</v>
      </c>
      <c r="F5" s="2" t="s">
        <v>37</v>
      </c>
      <c r="G5" s="2" t="s">
        <v>227</v>
      </c>
      <c r="H5" s="13"/>
      <c r="I5" s="13"/>
      <c r="J5" s="13"/>
      <c r="K5" s="13"/>
      <c r="L5" s="13"/>
    </row>
    <row r="6" spans="1:12" ht="75" x14ac:dyDescent="0.25">
      <c r="A6" s="2" t="s">
        <v>228</v>
      </c>
      <c r="B6" s="2" t="s">
        <v>229</v>
      </c>
      <c r="C6" s="2" t="s">
        <v>230</v>
      </c>
      <c r="D6" s="2" t="s">
        <v>231</v>
      </c>
      <c r="E6" s="2" t="s">
        <v>232</v>
      </c>
      <c r="F6" s="2" t="s">
        <v>83</v>
      </c>
      <c r="G6" s="2" t="s">
        <v>233</v>
      </c>
      <c r="H6" s="13"/>
      <c r="I6" s="13"/>
      <c r="J6" s="13"/>
      <c r="K6" s="13"/>
      <c r="L6" s="13"/>
    </row>
    <row r="7" spans="1:12" ht="75" x14ac:dyDescent="0.25">
      <c r="A7" s="2" t="s">
        <v>234</v>
      </c>
      <c r="B7" s="2" t="s">
        <v>235</v>
      </c>
      <c r="C7" s="2" t="s">
        <v>236</v>
      </c>
      <c r="D7" s="2" t="s">
        <v>237</v>
      </c>
      <c r="E7" s="2" t="s">
        <v>238</v>
      </c>
      <c r="F7" s="2" t="s">
        <v>37</v>
      </c>
      <c r="G7" s="2" t="s">
        <v>239</v>
      </c>
      <c r="H7" s="13"/>
      <c r="I7" s="13"/>
      <c r="J7" s="13"/>
      <c r="K7" s="13"/>
      <c r="L7" s="13"/>
    </row>
    <row r="8" spans="1:12" ht="60" x14ac:dyDescent="0.25">
      <c r="A8" s="2" t="s">
        <v>240</v>
      </c>
      <c r="B8" s="2" t="s">
        <v>241</v>
      </c>
      <c r="C8" s="2" t="s">
        <v>242</v>
      </c>
      <c r="D8" s="2" t="s">
        <v>243</v>
      </c>
      <c r="E8" s="2" t="s">
        <v>244</v>
      </c>
      <c r="F8" s="2" t="s">
        <v>245</v>
      </c>
      <c r="G8" s="2" t="s">
        <v>246</v>
      </c>
      <c r="H8" s="13"/>
      <c r="I8" s="13"/>
      <c r="J8" s="13"/>
      <c r="K8" s="13"/>
      <c r="L8" s="13"/>
    </row>
    <row r="9" spans="1:12" ht="75" x14ac:dyDescent="0.25">
      <c r="A9" s="2" t="s">
        <v>247</v>
      </c>
      <c r="B9" s="2" t="s">
        <v>248</v>
      </c>
      <c r="C9" s="2" t="s">
        <v>249</v>
      </c>
      <c r="D9" s="2" t="s">
        <v>250</v>
      </c>
      <c r="E9" s="2" t="s">
        <v>238</v>
      </c>
      <c r="F9" s="2" t="s">
        <v>37</v>
      </c>
      <c r="G9" s="2" t="s">
        <v>251</v>
      </c>
      <c r="H9" s="13"/>
      <c r="I9" s="13"/>
      <c r="J9" s="13"/>
      <c r="K9" s="13"/>
      <c r="L9" s="13"/>
    </row>
  </sheetData>
  <dataValidations count="1">
    <dataValidation type="list" allowBlank="1" showInputMessage="1" showErrorMessage="1" sqref="K3:K209" xr:uid="{00000000-0002-0000-04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"/>
  <sheetViews>
    <sheetView topLeftCell="D1" workbookViewId="0">
      <selection activeCell="H3" sqref="H3:L8"/>
    </sheetView>
  </sheetViews>
  <sheetFormatPr defaultRowHeight="15" x14ac:dyDescent="0.25"/>
  <cols>
    <col min="1" max="12" width="28" style="1" customWidth="1"/>
  </cols>
  <sheetData>
    <row r="1" spans="1:12" ht="108.75" customHeight="1" x14ac:dyDescent="0.25">
      <c r="B1" s="7" t="s">
        <v>387</v>
      </c>
    </row>
    <row r="2" spans="1:12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ht="75" x14ac:dyDescent="0.25">
      <c r="A3" s="2" t="s">
        <v>252</v>
      </c>
      <c r="B3" s="2" t="s">
        <v>253</v>
      </c>
      <c r="C3" s="2" t="s">
        <v>254</v>
      </c>
      <c r="D3" s="2" t="s">
        <v>255</v>
      </c>
      <c r="E3" s="2" t="s">
        <v>256</v>
      </c>
      <c r="F3" s="2" t="s">
        <v>37</v>
      </c>
      <c r="G3" s="2" t="s">
        <v>257</v>
      </c>
      <c r="H3" s="13"/>
      <c r="I3" s="13"/>
      <c r="J3" s="13"/>
      <c r="K3" s="13"/>
      <c r="L3" s="13"/>
    </row>
    <row r="4" spans="1:12" ht="75" x14ac:dyDescent="0.25">
      <c r="A4" s="2" t="s">
        <v>258</v>
      </c>
      <c r="B4" s="2" t="s">
        <v>259</v>
      </c>
      <c r="C4" s="2" t="s">
        <v>260</v>
      </c>
      <c r="D4" s="2" t="s">
        <v>107</v>
      </c>
      <c r="E4" s="2" t="s">
        <v>261</v>
      </c>
      <c r="F4" s="2" t="s">
        <v>37</v>
      </c>
      <c r="G4" s="2" t="s">
        <v>262</v>
      </c>
      <c r="H4" s="13"/>
      <c r="I4" s="13"/>
      <c r="J4" s="13"/>
      <c r="K4" s="13"/>
      <c r="L4" s="13"/>
    </row>
    <row r="5" spans="1:12" ht="90" x14ac:dyDescent="0.25">
      <c r="A5" s="2" t="s">
        <v>263</v>
      </c>
      <c r="B5" s="2" t="s">
        <v>264</v>
      </c>
      <c r="C5" s="2" t="s">
        <v>265</v>
      </c>
      <c r="D5" s="2" t="s">
        <v>266</v>
      </c>
      <c r="E5" s="2" t="s">
        <v>267</v>
      </c>
      <c r="F5" s="2" t="s">
        <v>37</v>
      </c>
      <c r="G5" s="2" t="s">
        <v>268</v>
      </c>
      <c r="H5" s="13"/>
      <c r="I5" s="13"/>
      <c r="J5" s="13"/>
      <c r="K5" s="13"/>
      <c r="L5" s="13"/>
    </row>
    <row r="6" spans="1:12" ht="75" x14ac:dyDescent="0.25">
      <c r="A6" s="2" t="s">
        <v>269</v>
      </c>
      <c r="B6" s="2" t="s">
        <v>270</v>
      </c>
      <c r="C6" s="2" t="s">
        <v>271</v>
      </c>
      <c r="D6" s="2" t="s">
        <v>272</v>
      </c>
      <c r="E6" s="2" t="s">
        <v>273</v>
      </c>
      <c r="F6" s="2" t="s">
        <v>37</v>
      </c>
      <c r="G6" s="2" t="s">
        <v>274</v>
      </c>
      <c r="H6" s="13"/>
      <c r="I6" s="13"/>
      <c r="J6" s="13"/>
      <c r="K6" s="13"/>
      <c r="L6" s="13"/>
    </row>
    <row r="7" spans="1:12" ht="60" x14ac:dyDescent="0.25">
      <c r="A7" s="2" t="s">
        <v>275</v>
      </c>
      <c r="B7" s="2" t="s">
        <v>276</v>
      </c>
      <c r="C7" s="2" t="s">
        <v>277</v>
      </c>
      <c r="D7" s="2" t="s">
        <v>278</v>
      </c>
      <c r="E7" s="2" t="s">
        <v>279</v>
      </c>
      <c r="F7" s="2" t="s">
        <v>37</v>
      </c>
      <c r="G7" s="2" t="s">
        <v>280</v>
      </c>
      <c r="H7" s="13"/>
      <c r="I7" s="13"/>
      <c r="J7" s="13"/>
      <c r="K7" s="13"/>
      <c r="L7" s="13"/>
    </row>
    <row r="8" spans="1:12" ht="75" x14ac:dyDescent="0.25">
      <c r="A8" s="2" t="s">
        <v>281</v>
      </c>
      <c r="B8" s="2" t="s">
        <v>282</v>
      </c>
      <c r="C8" s="2" t="s">
        <v>283</v>
      </c>
      <c r="D8" s="2" t="s">
        <v>284</v>
      </c>
      <c r="E8" s="2" t="s">
        <v>285</v>
      </c>
      <c r="F8" s="2" t="s">
        <v>37</v>
      </c>
      <c r="G8" s="2" t="s">
        <v>286</v>
      </c>
      <c r="H8" s="13"/>
      <c r="I8" s="13"/>
      <c r="J8" s="13"/>
      <c r="K8" s="13"/>
      <c r="L8" s="13"/>
    </row>
  </sheetData>
  <dataValidations count="1">
    <dataValidation type="list" allowBlank="1" showInputMessage="1" showErrorMessage="1" sqref="K3:K208" xr:uid="{00000000-0002-0000-05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7"/>
  <sheetViews>
    <sheetView topLeftCell="D1" workbookViewId="0">
      <selection activeCell="H3" sqref="H3:L7"/>
    </sheetView>
  </sheetViews>
  <sheetFormatPr defaultRowHeight="15" x14ac:dyDescent="0.25"/>
  <cols>
    <col min="1" max="12" width="28" style="1" customWidth="1"/>
  </cols>
  <sheetData>
    <row r="1" spans="1:12" ht="108.75" customHeight="1" x14ac:dyDescent="0.25">
      <c r="B1" s="7" t="s">
        <v>389</v>
      </c>
    </row>
    <row r="2" spans="1:12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ht="75" x14ac:dyDescent="0.25">
      <c r="A3" s="2" t="s">
        <v>287</v>
      </c>
      <c r="B3" s="2" t="s">
        <v>288</v>
      </c>
      <c r="C3" s="2" t="s">
        <v>289</v>
      </c>
      <c r="D3" s="2" t="s">
        <v>290</v>
      </c>
      <c r="E3" s="2" t="s">
        <v>291</v>
      </c>
      <c r="F3" s="2" t="s">
        <v>37</v>
      </c>
      <c r="G3" s="2" t="s">
        <v>292</v>
      </c>
      <c r="H3" s="13"/>
      <c r="I3" s="13"/>
      <c r="J3" s="13"/>
      <c r="K3" s="13"/>
      <c r="L3" s="13"/>
    </row>
    <row r="4" spans="1:12" ht="60" x14ac:dyDescent="0.25">
      <c r="A4" s="2" t="s">
        <v>293</v>
      </c>
      <c r="B4" s="2" t="s">
        <v>294</v>
      </c>
      <c r="C4" s="2" t="s">
        <v>295</v>
      </c>
      <c r="D4" s="2" t="s">
        <v>296</v>
      </c>
      <c r="E4" s="2" t="s">
        <v>297</v>
      </c>
      <c r="F4" s="2" t="s">
        <v>37</v>
      </c>
      <c r="G4" s="2" t="s">
        <v>298</v>
      </c>
      <c r="H4" s="13"/>
      <c r="I4" s="13"/>
      <c r="J4" s="13"/>
      <c r="K4" s="13"/>
      <c r="L4" s="13"/>
    </row>
    <row r="5" spans="1:12" ht="75" x14ac:dyDescent="0.25">
      <c r="A5" s="2" t="s">
        <v>299</v>
      </c>
      <c r="B5" s="2" t="s">
        <v>300</v>
      </c>
      <c r="C5" s="2" t="s">
        <v>301</v>
      </c>
      <c r="D5" s="2" t="s">
        <v>302</v>
      </c>
      <c r="E5" s="2" t="s">
        <v>303</v>
      </c>
      <c r="F5" s="2" t="s">
        <v>37</v>
      </c>
      <c r="G5" s="2" t="s">
        <v>304</v>
      </c>
      <c r="H5" s="13"/>
      <c r="I5" s="13"/>
      <c r="J5" s="13"/>
      <c r="K5" s="13"/>
      <c r="L5" s="13"/>
    </row>
    <row r="6" spans="1:12" ht="60" x14ac:dyDescent="0.25">
      <c r="A6" s="2" t="s">
        <v>305</v>
      </c>
      <c r="B6" s="2" t="s">
        <v>306</v>
      </c>
      <c r="C6" s="2" t="s">
        <v>307</v>
      </c>
      <c r="D6" s="2" t="s">
        <v>308</v>
      </c>
      <c r="E6" s="2" t="s">
        <v>309</v>
      </c>
      <c r="F6" s="2" t="s">
        <v>37</v>
      </c>
      <c r="G6" s="2" t="s">
        <v>310</v>
      </c>
      <c r="H6" s="13"/>
      <c r="I6" s="13"/>
      <c r="J6" s="13"/>
      <c r="K6" s="13"/>
      <c r="L6" s="13"/>
    </row>
    <row r="7" spans="1:12" ht="60" x14ac:dyDescent="0.25">
      <c r="A7" s="2" t="s">
        <v>311</v>
      </c>
      <c r="B7" s="2" t="s">
        <v>312</v>
      </c>
      <c r="C7" s="2" t="s">
        <v>313</v>
      </c>
      <c r="D7" s="2" t="s">
        <v>314</v>
      </c>
      <c r="E7" s="2" t="s">
        <v>315</v>
      </c>
      <c r="F7" s="2" t="s">
        <v>37</v>
      </c>
      <c r="G7" s="2" t="s">
        <v>316</v>
      </c>
      <c r="H7" s="13"/>
      <c r="I7" s="13"/>
      <c r="J7" s="13"/>
      <c r="K7" s="13"/>
      <c r="L7" s="13"/>
    </row>
  </sheetData>
  <dataValidations count="1">
    <dataValidation type="list" allowBlank="1" showInputMessage="1" showErrorMessage="1" sqref="K3:K207" xr:uid="{00000000-0002-0000-06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8"/>
  <sheetViews>
    <sheetView workbookViewId="0">
      <selection activeCell="A5" sqref="A5"/>
    </sheetView>
  </sheetViews>
  <sheetFormatPr defaultRowHeight="15" x14ac:dyDescent="0.25"/>
  <cols>
    <col min="1" max="12" width="28" style="1" customWidth="1"/>
  </cols>
  <sheetData>
    <row r="1" spans="1:12" ht="108.75" customHeight="1" x14ac:dyDescent="0.25">
      <c r="B1" s="7" t="s">
        <v>390</v>
      </c>
    </row>
    <row r="2" spans="1:12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ht="60" x14ac:dyDescent="0.25">
      <c r="A3" s="2" t="s">
        <v>317</v>
      </c>
      <c r="B3" s="2" t="s">
        <v>318</v>
      </c>
      <c r="C3" s="2" t="s">
        <v>319</v>
      </c>
      <c r="D3" s="2" t="s">
        <v>320</v>
      </c>
      <c r="E3" s="2" t="s">
        <v>321</v>
      </c>
      <c r="F3" s="2" t="s">
        <v>37</v>
      </c>
      <c r="G3" s="2" t="s">
        <v>322</v>
      </c>
      <c r="H3" s="13"/>
      <c r="I3" s="13"/>
      <c r="J3" s="13"/>
      <c r="K3" s="13" t="s">
        <v>393</v>
      </c>
      <c r="L3" s="13"/>
    </row>
    <row r="4" spans="1:12" ht="60" x14ac:dyDescent="0.25">
      <c r="A4" s="2" t="s">
        <v>323</v>
      </c>
      <c r="B4" s="2" t="s">
        <v>324</v>
      </c>
      <c r="C4" s="2" t="s">
        <v>325</v>
      </c>
      <c r="D4" s="2" t="s">
        <v>326</v>
      </c>
      <c r="E4" s="2" t="s">
        <v>327</v>
      </c>
      <c r="F4" s="2" t="s">
        <v>37</v>
      </c>
      <c r="G4" s="2" t="s">
        <v>328</v>
      </c>
      <c r="H4" s="13"/>
      <c r="I4" s="13"/>
      <c r="J4" s="13"/>
      <c r="K4" s="13" t="s">
        <v>393</v>
      </c>
      <c r="L4" s="13"/>
    </row>
    <row r="5" spans="1:12" ht="75" x14ac:dyDescent="0.25">
      <c r="A5" s="2" t="s">
        <v>329</v>
      </c>
      <c r="B5" s="2" t="s">
        <v>330</v>
      </c>
      <c r="C5" s="2" t="s">
        <v>331</v>
      </c>
      <c r="D5" s="2" t="s">
        <v>332</v>
      </c>
      <c r="E5" s="2" t="s">
        <v>333</v>
      </c>
      <c r="F5" s="2" t="s">
        <v>37</v>
      </c>
      <c r="G5" s="2" t="s">
        <v>334</v>
      </c>
      <c r="H5" s="13"/>
      <c r="I5" s="13"/>
      <c r="J5" s="13"/>
      <c r="K5" s="13" t="s">
        <v>393</v>
      </c>
      <c r="L5" s="13"/>
    </row>
    <row r="6" spans="1:12" ht="75" x14ac:dyDescent="0.25">
      <c r="A6" s="2" t="s">
        <v>335</v>
      </c>
      <c r="B6" s="2" t="s">
        <v>336</v>
      </c>
      <c r="C6" s="2" t="s">
        <v>337</v>
      </c>
      <c r="D6" s="2" t="s">
        <v>338</v>
      </c>
      <c r="E6" s="2" t="s">
        <v>339</v>
      </c>
      <c r="F6" s="2" t="s">
        <v>37</v>
      </c>
      <c r="G6" s="2" t="s">
        <v>340</v>
      </c>
      <c r="H6" s="13"/>
      <c r="I6" s="13"/>
      <c r="J6" s="13"/>
      <c r="K6" s="13" t="s">
        <v>393</v>
      </c>
      <c r="L6" s="13"/>
    </row>
    <row r="7" spans="1:12" ht="90" x14ac:dyDescent="0.25">
      <c r="A7" s="2" t="s">
        <v>341</v>
      </c>
      <c r="B7" s="2" t="s">
        <v>342</v>
      </c>
      <c r="C7" s="2" t="s">
        <v>343</v>
      </c>
      <c r="D7" s="2" t="s">
        <v>344</v>
      </c>
      <c r="E7" s="2" t="s">
        <v>345</v>
      </c>
      <c r="F7" s="2" t="s">
        <v>346</v>
      </c>
      <c r="G7" s="2" t="s">
        <v>347</v>
      </c>
      <c r="H7" s="13"/>
      <c r="I7" s="13"/>
      <c r="J7" s="13"/>
      <c r="K7" s="13" t="s">
        <v>393</v>
      </c>
      <c r="L7" s="13"/>
    </row>
    <row r="8" spans="1:12" ht="45" x14ac:dyDescent="0.25">
      <c r="A8" s="2" t="s">
        <v>348</v>
      </c>
      <c r="B8" s="2" t="s">
        <v>349</v>
      </c>
      <c r="C8" s="2" t="s">
        <v>350</v>
      </c>
      <c r="D8" s="2" t="s">
        <v>351</v>
      </c>
      <c r="E8" s="2" t="s">
        <v>352</v>
      </c>
      <c r="F8" s="2" t="s">
        <v>37</v>
      </c>
      <c r="G8" s="2" t="s">
        <v>353</v>
      </c>
      <c r="H8" s="13"/>
      <c r="I8" s="13"/>
      <c r="J8" s="13"/>
      <c r="K8" s="13" t="s">
        <v>393</v>
      </c>
      <c r="L8" s="13"/>
    </row>
  </sheetData>
  <dataValidations count="1">
    <dataValidation type="list" allowBlank="1" showInputMessage="1" showErrorMessage="1" sqref="K3:K208" xr:uid="{00000000-0002-0000-07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7"/>
  <sheetViews>
    <sheetView workbookViewId="0"/>
  </sheetViews>
  <sheetFormatPr defaultRowHeight="15" x14ac:dyDescent="0.25"/>
  <cols>
    <col min="1" max="12" width="28" style="1" customWidth="1"/>
  </cols>
  <sheetData>
    <row r="1" spans="1:12" ht="108.75" customHeight="1" x14ac:dyDescent="0.25">
      <c r="B1" s="7" t="s">
        <v>391</v>
      </c>
    </row>
    <row r="2" spans="1:12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ht="90" x14ac:dyDescent="0.25">
      <c r="A3" s="2" t="s">
        <v>354</v>
      </c>
      <c r="B3" s="2" t="s">
        <v>355</v>
      </c>
      <c r="C3" s="2" t="s">
        <v>356</v>
      </c>
      <c r="D3" s="2" t="s">
        <v>357</v>
      </c>
      <c r="E3" s="2" t="s">
        <v>358</v>
      </c>
      <c r="F3" s="2" t="s">
        <v>37</v>
      </c>
      <c r="G3" s="2" t="s">
        <v>359</v>
      </c>
      <c r="H3" s="13"/>
      <c r="I3" s="13"/>
      <c r="J3" s="13"/>
      <c r="K3" s="13"/>
      <c r="L3" s="13"/>
    </row>
    <row r="4" spans="1:12" ht="105" x14ac:dyDescent="0.25">
      <c r="A4" s="2" t="s">
        <v>360</v>
      </c>
      <c r="B4" s="2" t="s">
        <v>361</v>
      </c>
      <c r="C4" s="2" t="s">
        <v>362</v>
      </c>
      <c r="D4" s="2" t="s">
        <v>363</v>
      </c>
      <c r="E4" s="2" t="s">
        <v>364</v>
      </c>
      <c r="F4" s="2" t="s">
        <v>37</v>
      </c>
      <c r="G4" s="2" t="s">
        <v>365</v>
      </c>
      <c r="H4" s="13"/>
      <c r="I4" s="13"/>
      <c r="J4" s="13"/>
      <c r="K4" s="13"/>
      <c r="L4" s="13"/>
    </row>
    <row r="5" spans="1:12" ht="75" x14ac:dyDescent="0.25">
      <c r="A5" s="2" t="s">
        <v>366</v>
      </c>
      <c r="B5" s="2" t="s">
        <v>367</v>
      </c>
      <c r="C5" s="2" t="s">
        <v>368</v>
      </c>
      <c r="D5" s="2" t="s">
        <v>369</v>
      </c>
      <c r="E5" s="2" t="s">
        <v>370</v>
      </c>
      <c r="F5" s="2" t="s">
        <v>37</v>
      </c>
      <c r="G5" s="2" t="s">
        <v>371</v>
      </c>
      <c r="H5" s="13"/>
      <c r="I5" s="13"/>
      <c r="J5" s="13"/>
      <c r="K5" s="13"/>
      <c r="L5" s="13"/>
    </row>
    <row r="6" spans="1:12" ht="60" x14ac:dyDescent="0.25">
      <c r="A6" s="2" t="s">
        <v>372</v>
      </c>
      <c r="B6" s="2" t="s">
        <v>373</v>
      </c>
      <c r="C6" s="2" t="s">
        <v>374</v>
      </c>
      <c r="D6" s="2" t="s">
        <v>375</v>
      </c>
      <c r="E6" s="2" t="s">
        <v>376</v>
      </c>
      <c r="F6" s="2" t="s">
        <v>377</v>
      </c>
      <c r="G6" s="2" t="s">
        <v>378</v>
      </c>
      <c r="H6" s="13"/>
      <c r="I6" s="13"/>
      <c r="J6" s="13"/>
      <c r="K6" s="13"/>
      <c r="L6" s="13"/>
    </row>
    <row r="7" spans="1:12" ht="60" x14ac:dyDescent="0.25">
      <c r="A7" s="2" t="s">
        <v>379</v>
      </c>
      <c r="B7" s="2" t="s">
        <v>380</v>
      </c>
      <c r="C7" s="2" t="s">
        <v>381</v>
      </c>
      <c r="D7" s="2" t="s">
        <v>382</v>
      </c>
      <c r="E7" s="2" t="s">
        <v>201</v>
      </c>
      <c r="F7" s="2" t="s">
        <v>37</v>
      </c>
      <c r="G7" s="2" t="s">
        <v>383</v>
      </c>
      <c r="H7" s="13"/>
      <c r="I7" s="13"/>
      <c r="J7" s="13"/>
      <c r="K7" s="13"/>
      <c r="L7" s="13"/>
    </row>
  </sheetData>
  <dataValidations count="1">
    <dataValidation type="list" allowBlank="1" showInputMessage="1" showErrorMessage="1" sqref="K3:K207" xr:uid="{00000000-0002-0000-0800-000000000000}">
      <formula1>"Not started,In progress,Completed,Blocked"</formula1>
    </dataValidation>
  </dataValidations>
  <pageMargins left="0.74803149606299213" right="0.74803149606299213" top="0.98425196850393704" bottom="0.98425196850393704" header="0.51181102362204722" footer="0.51181102362204722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Summary</vt:lpstr>
      <vt:lpstr>Governance</vt:lpstr>
      <vt:lpstr>Finance</vt:lpstr>
      <vt:lpstr>Fundraising</vt:lpstr>
      <vt:lpstr>Programs</vt:lpstr>
      <vt:lpstr>HR and Volunteers</vt:lpstr>
      <vt:lpstr>Risk and Compliance</vt:lpstr>
      <vt:lpstr>Communications and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I</cp:lastModifiedBy>
  <cp:lastPrinted>2025-10-09T05:03:13Z</cp:lastPrinted>
  <dcterms:created xsi:type="dcterms:W3CDTF">2025-10-09T01:44:43Z</dcterms:created>
  <dcterms:modified xsi:type="dcterms:W3CDTF">2026-04-17T04:53:37Z</dcterms:modified>
</cp:coreProperties>
</file>